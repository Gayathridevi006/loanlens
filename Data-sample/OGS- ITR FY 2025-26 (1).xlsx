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697D5F-B020-4BF8-AB18-1E72123F081E}" xr6:coauthVersionLast="47" xr6:coauthVersionMax="47" xr10:uidLastSave="{00000000-0000-0000-0000-000000000000}"/>
  <bookViews>
    <workbookView xWindow="-108" yWindow="-108" windowWidth="23256" windowHeight="12576" activeTab="2" xr2:uid="{82CB2C8B-41F8-45BD-A6F7-8F0244BA634B}"/>
  </bookViews>
  <sheets>
    <sheet name="ROI 2025-26" sheetId="3" r:id="rId1"/>
    <sheet name="PL 2025-26" sheetId="1" r:id="rId2"/>
    <sheet name="BS 2025-26" sheetId="2" r:id="rId3"/>
    <sheet name="Sheet1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12" i="1"/>
  <c r="C18" i="1"/>
  <c r="C14" i="1"/>
  <c r="C24" i="1"/>
  <c r="F28" i="2"/>
  <c r="G30" i="2" s="1"/>
  <c r="F15" i="2"/>
  <c r="L55" i="3"/>
  <c r="L54" i="3"/>
  <c r="L53" i="3"/>
  <c r="J52" i="3"/>
  <c r="I52" i="3"/>
  <c r="L52" i="3" s="1"/>
  <c r="C8" i="1"/>
  <c r="E66" i="3"/>
  <c r="F65" i="3"/>
  <c r="E45" i="3"/>
  <c r="F47" i="3" s="1"/>
  <c r="E32" i="3"/>
  <c r="F34" i="3" s="1"/>
  <c r="F10" i="2"/>
  <c r="G10" i="2"/>
  <c r="C20" i="1"/>
  <c r="C16" i="1"/>
  <c r="G21" i="2"/>
  <c r="E32" i="1" l="1"/>
  <c r="C32" i="1" s="1"/>
  <c r="F19" i="2"/>
  <c r="G19" i="2" s="1"/>
  <c r="F13" i="2"/>
  <c r="F16" i="2"/>
  <c r="G16" i="2" l="1"/>
  <c r="C22" i="1"/>
  <c r="G13" i="2"/>
  <c r="G35" i="2" l="1"/>
  <c r="C29" i="1"/>
  <c r="E19" i="3" s="1"/>
  <c r="E25" i="3"/>
  <c r="E26" i="3" s="1"/>
  <c r="D21" i="3"/>
  <c r="E22" i="3" s="1"/>
  <c r="E23" i="3" s="1"/>
  <c r="L58" i="3"/>
  <c r="E53" i="3" s="1"/>
  <c r="F54" i="3" s="1"/>
  <c r="F55" i="3" s="1"/>
  <c r="F56" i="3" s="1"/>
  <c r="F57" i="3" s="1"/>
  <c r="F58" i="3" s="1"/>
  <c r="F62" i="3" s="1"/>
  <c r="E27" i="3" l="1"/>
  <c r="F29" i="3" s="1"/>
  <c r="F36" i="3" s="1"/>
  <c r="F48" i="3" s="1"/>
  <c r="F49" i="3" s="1"/>
  <c r="D53" i="3" s="1"/>
  <c r="C11" i="2"/>
  <c r="C9" i="2" l="1"/>
  <c r="D11" i="2" s="1"/>
  <c r="D12" i="2" s="1"/>
  <c r="D14" i="2" s="1"/>
  <c r="D35" i="2" s="1"/>
  <c r="I35" i="2" s="1"/>
</calcChain>
</file>

<file path=xl/sharedStrings.xml><?xml version="1.0" encoding="utf-8"?>
<sst xmlns="http://schemas.openxmlformats.org/spreadsheetml/2006/main" count="161" uniqueCount="123">
  <si>
    <t>Particulars</t>
  </si>
  <si>
    <t>Amount (Rs)</t>
  </si>
  <si>
    <t>To  Office Expenses</t>
  </si>
  <si>
    <t>"  Consultancy Charges</t>
  </si>
  <si>
    <t>"  Rent paid</t>
  </si>
  <si>
    <t>" Electricity Paid</t>
  </si>
  <si>
    <t>" Printing and stationary</t>
  </si>
  <si>
    <t>" Salaries</t>
  </si>
  <si>
    <t>" Internet Charges</t>
  </si>
  <si>
    <t>" Depreciation</t>
  </si>
  <si>
    <t>" Repairs and maintenance</t>
  </si>
  <si>
    <t>" Miscellaneous Exp</t>
  </si>
  <si>
    <t>"  Net Profit</t>
  </si>
  <si>
    <t>Place : Bangalore</t>
  </si>
  <si>
    <t xml:space="preserve">Date : </t>
  </si>
  <si>
    <t>Assessee</t>
  </si>
  <si>
    <t>Liabilities</t>
  </si>
  <si>
    <t>Assets</t>
  </si>
  <si>
    <t>CAPITAL ACCOUNT</t>
  </si>
  <si>
    <t>FIXED ASSETS</t>
  </si>
  <si>
    <t>Addition during the year</t>
  </si>
  <si>
    <t>Less : Depreciation @ 15%</t>
  </si>
  <si>
    <t>Add: Profit for the year</t>
  </si>
  <si>
    <t>Furniture and Fixtures</t>
  </si>
  <si>
    <t>Less: Drawings</t>
  </si>
  <si>
    <t>Less: Depreciation @ 10%</t>
  </si>
  <si>
    <t>Vehicle</t>
  </si>
  <si>
    <t>TRADE RECEIVABLES AND ADVANCES</t>
  </si>
  <si>
    <t>Less: Depreciation @ 15%</t>
  </si>
  <si>
    <t>Sundry Creditors</t>
  </si>
  <si>
    <t>Printer</t>
  </si>
  <si>
    <t>Loans and Advances</t>
  </si>
  <si>
    <t>Sundry debtors</t>
  </si>
  <si>
    <t>CURRENT ASSETS, LOANS &amp; ADVANCE</t>
  </si>
  <si>
    <t>Cash In Hand</t>
  </si>
  <si>
    <t>Rent deposit</t>
  </si>
  <si>
    <t>By  revenue from business</t>
  </si>
  <si>
    <t>laptop</t>
  </si>
  <si>
    <t>Balance as on 01.04.2024</t>
  </si>
  <si>
    <t>OGS-Facility Management</t>
  </si>
  <si>
    <t>SY No.7,2nd Main,5th CROSS,GANDHIPURAM,WHITEFIELD, BANGALORE-560066.</t>
  </si>
  <si>
    <t>Bank Account-HDFC 50200026295042</t>
  </si>
  <si>
    <t>COMPUTATION SHEET OF TAXABLE INCOME &amp; INCOME TAX</t>
  </si>
  <si>
    <t xml:space="preserve">Name  </t>
  </si>
  <si>
    <t xml:space="preserve">Status </t>
  </si>
  <si>
    <t xml:space="preserve"> : Company</t>
  </si>
  <si>
    <t xml:space="preserve">Address </t>
  </si>
  <si>
    <t xml:space="preserve">E-mail  </t>
  </si>
  <si>
    <t xml:space="preserve">MobileNo  </t>
  </si>
  <si>
    <t xml:space="preserve">ITR Form </t>
  </si>
  <si>
    <t xml:space="preserve"> : ITR - 4</t>
  </si>
  <si>
    <t>Res. Status              : Ordinarily Resident</t>
  </si>
  <si>
    <t>Return Filed           :  Original</t>
  </si>
  <si>
    <t>COMPUTATION OF TOTAL INCOME</t>
  </si>
  <si>
    <t>SOURCES OF INCOME</t>
  </si>
  <si>
    <t>Amount</t>
  </si>
  <si>
    <t>(Rs)</t>
  </si>
  <si>
    <t>INCOME FROM BUSINESS/PROFESSION</t>
  </si>
  <si>
    <t>1.1 Business : AIIM FACILITY MANAGEMET SERVICES</t>
  </si>
  <si>
    <t>Bangalore</t>
  </si>
  <si>
    <t>Net Profit Before Tax-P1</t>
  </si>
  <si>
    <t>:</t>
  </si>
  <si>
    <t>Additions</t>
  </si>
  <si>
    <t xml:space="preserve">        Depreciation as per Profit and Loss Account</t>
  </si>
  <si>
    <t xml:space="preserve">        TOTAL ADDITIONS U/s.28 TO 44DA</t>
  </si>
  <si>
    <t>TOTAL ADDITIONS-P2</t>
  </si>
  <si>
    <t>Depreciation as per Income tax act</t>
  </si>
  <si>
    <t>TOTAL DEDUCTIONS-P3</t>
  </si>
  <si>
    <t xml:space="preserve">    Income From Business/Profession(P1+P2-P)</t>
  </si>
  <si>
    <t>Income From Business/Profession (B1)</t>
  </si>
  <si>
    <t>INCOME FROM OTHER SOURCES</t>
  </si>
  <si>
    <t>2.1 Interest earned on deposits in saving account with banks, co-operative societies and post office</t>
  </si>
  <si>
    <t xml:space="preserve">        1.Interest From bank SB</t>
  </si>
  <si>
    <t>Income from Other sources</t>
  </si>
  <si>
    <t xml:space="preserve">    GROSS TOTAL INCOME</t>
  </si>
  <si>
    <t xml:space="preserve">DEDUCTIONS U/c VI A </t>
  </si>
  <si>
    <t xml:space="preserve">Description </t>
  </si>
  <si>
    <t>Gross</t>
  </si>
  <si>
    <t>Qualifying</t>
  </si>
  <si>
    <t>Deductable</t>
  </si>
  <si>
    <t>80D    -Medical Insurance Premium</t>
  </si>
  <si>
    <t xml:space="preserve">                    80D- Total Amount</t>
  </si>
  <si>
    <t>80GG    -Deduction in respect of Rent paid</t>
  </si>
  <si>
    <t xml:space="preserve">            Rent Paid(12Months X Rs.10000P.M)=120000</t>
  </si>
  <si>
    <t>80TTA   -Deduction in respect of interest on deposits in savings account.</t>
  </si>
  <si>
    <t xml:space="preserve">     Total Deductions </t>
  </si>
  <si>
    <t xml:space="preserve"> TOTAL INCOME</t>
  </si>
  <si>
    <t xml:space="preserve"> TOTAL INCOME(rounded off)</t>
  </si>
  <si>
    <t>TAX ON TOTAL INCOME</t>
  </si>
  <si>
    <t>INCOMES</t>
  </si>
  <si>
    <t>INCOME</t>
  </si>
  <si>
    <t>TAX</t>
  </si>
  <si>
    <t>Tax calculations</t>
  </si>
  <si>
    <t>0 to 300000</t>
  </si>
  <si>
    <t>Normal Income &amp; Tax</t>
  </si>
  <si>
    <t>300000 to 700000</t>
  </si>
  <si>
    <t>Total Tax</t>
  </si>
  <si>
    <t>Rebate U/s 87A</t>
  </si>
  <si>
    <t>Tax After Rebate U/s 87A</t>
  </si>
  <si>
    <t>Add: Cess</t>
  </si>
  <si>
    <t>TAX AND CESS</t>
  </si>
  <si>
    <t>AMT - 115JC</t>
  </si>
  <si>
    <t xml:space="preserve">AMT - Cr. 115JD </t>
  </si>
  <si>
    <t>TAX PAYABLE</t>
  </si>
  <si>
    <t>LESS : PREPAID TAXES</t>
  </si>
  <si>
    <t>Self Assessment Tax Payable</t>
  </si>
  <si>
    <t>0</t>
  </si>
  <si>
    <t>Self Assessment Tax U/s.140A</t>
  </si>
  <si>
    <t xml:space="preserve">: Paid on </t>
  </si>
  <si>
    <t>Balance Tax Payable / (Refund Due)</t>
  </si>
  <si>
    <t>Date :</t>
  </si>
  <si>
    <t xml:space="preserve"> : OGS-Facility Management</t>
  </si>
  <si>
    <t xml:space="preserve"> : SY No.7,2nd Main,5th CROSS,GANDHIPURAM,WHITEFIELD, BANGALORE-560066.</t>
  </si>
  <si>
    <t>GSTIN                     : 29BBUPC0054Q1Z3</t>
  </si>
  <si>
    <t xml:space="preserve">PAN                         : BBUPC0054Q
</t>
  </si>
  <si>
    <t>Asset</t>
  </si>
  <si>
    <t>Bank overdraft.</t>
  </si>
  <si>
    <t>700000 to 1000000</t>
  </si>
  <si>
    <t>1000000 to 1200000</t>
  </si>
  <si>
    <t>Profit and loss  during the year ended 31.03.2026</t>
  </si>
  <si>
    <t>FINANCIAL  Year   : 2025-26</t>
  </si>
  <si>
    <t>Asst. Year           : 2026-27</t>
  </si>
  <si>
    <t>Balance Sheet as at 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</si>
</sst>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Bright"/>
      <family val="1"/>
    </font>
    <font>
      <b/>
      <sz val="11"/>
      <color theme="1"/>
      <name val="Lucida Bright"/>
      <family val="1"/>
    </font>
    <font>
      <u/>
      <sz val="11"/>
      <color theme="1"/>
      <name val="Lucida Bright"/>
      <family val="1"/>
    </font>
    <font>
      <b/>
      <sz val="16"/>
      <color theme="1"/>
      <name val="Lucida Bright"/>
      <family val="1"/>
    </font>
    <font>
      <sz val="16"/>
      <color theme="1"/>
      <name val="Lucida Bright"/>
      <family val="1"/>
    </font>
    <font>
      <sz val="14"/>
      <color theme="1"/>
      <name val="Lucida Bright"/>
      <family val="1"/>
    </font>
    <font>
      <b/>
      <sz val="14"/>
      <color theme="1"/>
      <name val="Lucida Bright"/>
      <family val="1"/>
    </font>
    <font>
      <sz val="10"/>
      <name val="Arial"/>
      <family val="2"/>
    </font>
    <font>
      <sz val="11"/>
      <name val="Lucida Bright"/>
      <family val="1"/>
    </font>
    <font>
      <b/>
      <sz val="11"/>
      <name val="Lucida Bright"/>
      <family val="1"/>
    </font>
    <font>
      <u/>
      <sz val="11"/>
      <name val="Lucida Bright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0"/>
      </top>
      <bottom style="thin">
        <color indexed="0"/>
      </bottom>
      <diagonal/>
    </border>
    <border>
      <left style="thin">
        <color indexed="8"/>
      </left>
      <right style="thin">
        <color indexed="8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133">
    <xf numFmtId="0" fontId="0" fillId="0" borderId="0" xfId="0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164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43" fontId="2" fillId="0" borderId="0" xfId="0" applyNumberFormat="1" applyFont="1"/>
    <xf numFmtId="0" fontId="2" fillId="0" borderId="7" xfId="0" applyFont="1" applyBorder="1" applyAlignment="1">
      <alignment wrapText="1"/>
    </xf>
    <xf numFmtId="0" fontId="4" fillId="0" borderId="7" xfId="0" applyFont="1" applyBorder="1"/>
    <xf numFmtId="0" fontId="3" fillId="0" borderId="8" xfId="0" applyFont="1" applyBorder="1"/>
    <xf numFmtId="164" fontId="3" fillId="0" borderId="7" xfId="0" applyNumberFormat="1" applyFont="1" applyBorder="1"/>
    <xf numFmtId="0" fontId="4" fillId="0" borderId="8" xfId="0" applyFont="1" applyBorder="1"/>
    <xf numFmtId="0" fontId="2" fillId="0" borderId="4" xfId="0" applyFont="1" applyBorder="1"/>
    <xf numFmtId="164" fontId="3" fillId="0" borderId="5" xfId="0" applyNumberFormat="1" applyFont="1" applyBorder="1"/>
    <xf numFmtId="164" fontId="3" fillId="0" borderId="0" xfId="0" applyNumberFormat="1" applyFont="1"/>
    <xf numFmtId="0" fontId="3" fillId="0" borderId="0" xfId="0" applyFont="1"/>
    <xf numFmtId="164" fontId="3" fillId="0" borderId="9" xfId="0" applyNumberFormat="1" applyFont="1" applyBorder="1"/>
    <xf numFmtId="0" fontId="5" fillId="0" borderId="8" xfId="0" applyFont="1" applyBorder="1"/>
    <xf numFmtId="164" fontId="5" fillId="0" borderId="0" xfId="0" applyNumberFormat="1" applyFont="1"/>
    <xf numFmtId="0" fontId="5" fillId="0" borderId="0" xfId="0" applyFont="1"/>
    <xf numFmtId="0" fontId="5" fillId="0" borderId="9" xfId="0" applyFont="1" applyBorder="1"/>
    <xf numFmtId="0" fontId="6" fillId="0" borderId="8" xfId="0" applyFont="1" applyBorder="1"/>
    <xf numFmtId="164" fontId="6" fillId="0" borderId="0" xfId="0" applyNumberFormat="1" applyFont="1"/>
    <xf numFmtId="0" fontId="6" fillId="0" borderId="0" xfId="0" applyFont="1"/>
    <xf numFmtId="0" fontId="6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164" fontId="2" fillId="0" borderId="8" xfId="0" applyNumberFormat="1" applyFont="1" applyBorder="1"/>
    <xf numFmtId="164" fontId="2" fillId="0" borderId="13" xfId="0" applyNumberFormat="1" applyFont="1" applyBorder="1"/>
    <xf numFmtId="164" fontId="2" fillId="0" borderId="0" xfId="0" applyNumberFormat="1" applyFont="1"/>
    <xf numFmtId="1" fontId="2" fillId="0" borderId="0" xfId="0" applyNumberFormat="1" applyFont="1"/>
    <xf numFmtId="164" fontId="2" fillId="0" borderId="7" xfId="0" applyNumberFormat="1" applyFont="1" applyBorder="1" applyAlignment="1">
      <alignment wrapText="1"/>
    </xf>
    <xf numFmtId="164" fontId="4" fillId="0" borderId="7" xfId="0" applyNumberFormat="1" applyFont="1" applyBorder="1"/>
    <xf numFmtId="164" fontId="3" fillId="0" borderId="8" xfId="0" applyNumberFormat="1" applyFont="1" applyBorder="1"/>
    <xf numFmtId="0" fontId="4" fillId="0" borderId="1" xfId="0" applyFont="1" applyBorder="1"/>
    <xf numFmtId="164" fontId="2" fillId="0" borderId="5" xfId="0" applyNumberFormat="1" applyFont="1" applyBorder="1"/>
    <xf numFmtId="0" fontId="2" fillId="0" borderId="5" xfId="0" applyFont="1" applyBorder="1"/>
    <xf numFmtId="164" fontId="4" fillId="0" borderId="1" xfId="0" applyNumberFormat="1" applyFont="1" applyBorder="1"/>
    <xf numFmtId="164" fontId="2" fillId="0" borderId="0" xfId="1" applyNumberFormat="1" applyFont="1"/>
    <xf numFmtId="0" fontId="3" fillId="0" borderId="6" xfId="0" applyFont="1" applyBorder="1"/>
    <xf numFmtId="164" fontId="3" fillId="0" borderId="14" xfId="0" applyNumberFormat="1" applyFont="1" applyBorder="1"/>
    <xf numFmtId="0" fontId="3" fillId="0" borderId="14" xfId="0" applyFont="1" applyBorder="1"/>
    <xf numFmtId="164" fontId="3" fillId="0" borderId="15" xfId="0" applyNumberFormat="1" applyFont="1" applyBorder="1"/>
    <xf numFmtId="164" fontId="5" fillId="0" borderId="9" xfId="0" applyNumberFormat="1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2" applyFont="1" applyAlignment="1">
      <alignment horizontal="left" vertical="top"/>
    </xf>
    <xf numFmtId="0" fontId="10" fillId="0" borderId="0" xfId="2" applyFont="1"/>
    <xf numFmtId="0" fontId="10" fillId="0" borderId="16" xfId="2" applyFont="1" applyBorder="1" applyAlignment="1">
      <alignment horizontal="left" vertical="top"/>
    </xf>
    <xf numFmtId="49" fontId="11" fillId="0" borderId="17" xfId="2" applyNumberFormat="1" applyFont="1" applyBorder="1" applyAlignment="1">
      <alignment vertical="top"/>
    </xf>
    <xf numFmtId="0" fontId="10" fillId="0" borderId="17" xfId="2" applyFont="1" applyBorder="1" applyAlignment="1">
      <alignment vertical="top"/>
    </xf>
    <xf numFmtId="0" fontId="10" fillId="0" borderId="18" xfId="2" applyFont="1" applyBorder="1" applyAlignment="1">
      <alignment horizontal="left" vertical="top"/>
    </xf>
    <xf numFmtId="49" fontId="11" fillId="0" borderId="19" xfId="2" applyNumberFormat="1" applyFont="1" applyBorder="1" applyAlignment="1">
      <alignment vertical="top"/>
    </xf>
    <xf numFmtId="0" fontId="10" fillId="0" borderId="19" xfId="2" applyFont="1" applyBorder="1" applyAlignment="1">
      <alignment vertical="top"/>
    </xf>
    <xf numFmtId="0" fontId="10" fillId="0" borderId="19" xfId="2" applyFont="1" applyBorder="1" applyAlignment="1">
      <alignment horizontal="left" vertical="top"/>
    </xf>
    <xf numFmtId="0" fontId="10" fillId="0" borderId="18" xfId="2" applyFont="1" applyBorder="1" applyAlignment="1">
      <alignment vertical="top"/>
    </xf>
    <xf numFmtId="0" fontId="10" fillId="0" borderId="20" xfId="2" applyFont="1" applyBorder="1"/>
    <xf numFmtId="0" fontId="10" fillId="0" borderId="20" xfId="2" applyFont="1" applyBorder="1" applyAlignment="1">
      <alignment horizontal="left" vertical="top"/>
    </xf>
    <xf numFmtId="49" fontId="10" fillId="0" borderId="0" xfId="2" applyNumberFormat="1" applyFont="1" applyAlignment="1">
      <alignment vertical="top"/>
    </xf>
    <xf numFmtId="0" fontId="2" fillId="0" borderId="20" xfId="0" applyFont="1" applyBorder="1"/>
    <xf numFmtId="0" fontId="10" fillId="0" borderId="21" xfId="2" applyFont="1" applyBorder="1" applyAlignment="1">
      <alignment horizontal="left" vertical="top" wrapText="1"/>
    </xf>
    <xf numFmtId="49" fontId="11" fillId="0" borderId="22" xfId="2" applyNumberFormat="1" applyFont="1" applyBorder="1" applyAlignment="1">
      <alignment horizontal="center" vertical="top" wrapText="1"/>
    </xf>
    <xf numFmtId="0" fontId="10" fillId="0" borderId="22" xfId="2" applyFont="1" applyBorder="1" applyAlignment="1">
      <alignment vertical="top"/>
    </xf>
    <xf numFmtId="0" fontId="10" fillId="0" borderId="22" xfId="2" applyFont="1" applyBorder="1" applyAlignment="1">
      <alignment horizontal="left" vertical="top" wrapText="1"/>
    </xf>
    <xf numFmtId="0" fontId="10" fillId="0" borderId="21" xfId="2" applyFont="1" applyBorder="1" applyAlignment="1">
      <alignment vertical="top"/>
    </xf>
    <xf numFmtId="49" fontId="11" fillId="0" borderId="0" xfId="2" applyNumberFormat="1" applyFont="1" applyAlignment="1">
      <alignment vertical="top" wrapText="1"/>
    </xf>
    <xf numFmtId="0" fontId="11" fillId="0" borderId="23" xfId="2" applyFont="1" applyBorder="1" applyAlignment="1">
      <alignment horizontal="right" vertical="top" wrapText="1"/>
    </xf>
    <xf numFmtId="0" fontId="11" fillId="0" borderId="24" xfId="2" applyFont="1" applyBorder="1" applyAlignment="1">
      <alignment horizontal="right" vertical="top" wrapText="1"/>
    </xf>
    <xf numFmtId="0" fontId="2" fillId="0" borderId="24" xfId="0" applyFont="1" applyBorder="1"/>
    <xf numFmtId="0" fontId="11" fillId="0" borderId="20" xfId="2" applyFont="1" applyBorder="1" applyAlignment="1">
      <alignment horizontal="right" vertical="top"/>
    </xf>
    <xf numFmtId="0" fontId="12" fillId="0" borderId="0" xfId="2" applyFont="1" applyAlignment="1">
      <alignment vertical="top"/>
    </xf>
    <xf numFmtId="0" fontId="12" fillId="0" borderId="24" xfId="2" applyFont="1" applyBorder="1" applyAlignment="1">
      <alignment vertical="top"/>
    </xf>
    <xf numFmtId="0" fontId="11" fillId="0" borderId="0" xfId="2" applyFont="1" applyAlignment="1">
      <alignment vertical="top"/>
    </xf>
    <xf numFmtId="0" fontId="11" fillId="0" borderId="24" xfId="2" applyFont="1" applyBorder="1" applyAlignment="1">
      <alignment vertical="top"/>
    </xf>
    <xf numFmtId="49" fontId="10" fillId="0" borderId="0" xfId="2" applyNumberFormat="1" applyFont="1" applyAlignment="1">
      <alignment vertical="top" wrapText="1"/>
    </xf>
    <xf numFmtId="164" fontId="10" fillId="0" borderId="24" xfId="2" applyNumberFormat="1" applyFont="1" applyBorder="1"/>
    <xf numFmtId="49" fontId="11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vertical="top"/>
    </xf>
    <xf numFmtId="164" fontId="11" fillId="0" borderId="25" xfId="2" applyNumberFormat="1" applyFont="1" applyBorder="1" applyAlignment="1">
      <alignment vertical="top"/>
    </xf>
    <xf numFmtId="164" fontId="10" fillId="0" borderId="24" xfId="2" applyNumberFormat="1" applyFont="1" applyBorder="1" applyAlignment="1">
      <alignment vertical="top"/>
    </xf>
    <xf numFmtId="164" fontId="10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vertical="top"/>
    </xf>
    <xf numFmtId="164" fontId="11" fillId="0" borderId="26" xfId="2" applyNumberFormat="1" applyFont="1" applyBorder="1" applyAlignment="1">
      <alignment vertical="top"/>
    </xf>
    <xf numFmtId="164" fontId="2" fillId="0" borderId="24" xfId="0" applyNumberFormat="1" applyFont="1" applyBorder="1"/>
    <xf numFmtId="164" fontId="10" fillId="0" borderId="26" xfId="2" applyNumberFormat="1" applyFont="1" applyBorder="1" applyAlignment="1">
      <alignment vertical="top"/>
    </xf>
    <xf numFmtId="0" fontId="11" fillId="0" borderId="16" xfId="2" applyFont="1" applyBorder="1" applyAlignment="1">
      <alignment horizontal="right" vertical="top"/>
    </xf>
    <xf numFmtId="49" fontId="11" fillId="0" borderId="17" xfId="2" applyNumberFormat="1" applyFont="1" applyBorder="1" applyAlignment="1">
      <alignment vertical="top" wrapText="1"/>
    </xf>
    <xf numFmtId="0" fontId="11" fillId="0" borderId="17" xfId="2" applyFont="1" applyBorder="1" applyAlignment="1">
      <alignment vertical="top"/>
    </xf>
    <xf numFmtId="164" fontId="11" fillId="0" borderId="23" xfId="2" applyNumberFormat="1" applyFont="1" applyBorder="1" applyAlignment="1">
      <alignment vertical="top"/>
    </xf>
    <xf numFmtId="164" fontId="11" fillId="0" borderId="24" xfId="2" applyNumberFormat="1" applyFont="1" applyBorder="1" applyAlignment="1">
      <alignment horizontal="right" vertical="top"/>
    </xf>
    <xf numFmtId="49" fontId="11" fillId="0" borderId="0" xfId="2" applyNumberFormat="1" applyFont="1" applyAlignment="1">
      <alignment horizontal="left" vertical="top"/>
    </xf>
    <xf numFmtId="0" fontId="10" fillId="0" borderId="16" xfId="2" applyFont="1" applyBorder="1" applyAlignment="1">
      <alignment horizontal="right" vertical="top"/>
    </xf>
    <xf numFmtId="9" fontId="2" fillId="0" borderId="0" xfId="0" applyNumberFormat="1" applyFont="1"/>
    <xf numFmtId="49" fontId="10" fillId="0" borderId="17" xfId="2" applyNumberFormat="1" applyFont="1" applyBorder="1" applyAlignment="1">
      <alignment vertical="top" wrapText="1"/>
    </xf>
    <xf numFmtId="164" fontId="11" fillId="0" borderId="23" xfId="2" applyNumberFormat="1" applyFont="1" applyBorder="1" applyAlignment="1">
      <alignment horizontal="right" vertical="top"/>
    </xf>
    <xf numFmtId="0" fontId="11" fillId="0" borderId="21" xfId="2" applyFont="1" applyBorder="1" applyAlignment="1">
      <alignment horizontal="right" vertical="top"/>
    </xf>
    <xf numFmtId="49" fontId="11" fillId="0" borderId="22" xfId="2" applyNumberFormat="1" applyFont="1" applyBorder="1" applyAlignment="1">
      <alignment vertical="top" wrapText="1"/>
    </xf>
    <xf numFmtId="0" fontId="11" fillId="0" borderId="22" xfId="2" applyFont="1" applyBorder="1" applyAlignment="1">
      <alignment vertical="top"/>
    </xf>
    <xf numFmtId="164" fontId="11" fillId="0" borderId="25" xfId="2" applyNumberFormat="1" applyFont="1" applyBorder="1" applyAlignment="1">
      <alignment horizontal="right" vertical="top"/>
    </xf>
    <xf numFmtId="0" fontId="10" fillId="0" borderId="20" xfId="2" applyFont="1" applyBorder="1" applyAlignment="1">
      <alignment horizontal="right" vertical="top"/>
    </xf>
    <xf numFmtId="0" fontId="2" fillId="0" borderId="27" xfId="0" applyFont="1" applyBorder="1"/>
    <xf numFmtId="0" fontId="2" fillId="0" borderId="28" xfId="0" applyFont="1" applyBorder="1"/>
    <xf numFmtId="164" fontId="2" fillId="0" borderId="28" xfId="0" applyNumberFormat="1" applyFont="1" applyBorder="1"/>
    <xf numFmtId="164" fontId="2" fillId="0" borderId="29" xfId="0" applyNumberFormat="1" applyFont="1" applyBorder="1"/>
    <xf numFmtId="0" fontId="2" fillId="0" borderId="30" xfId="0" applyFont="1" applyBorder="1"/>
    <xf numFmtId="164" fontId="2" fillId="0" borderId="20" xfId="0" applyNumberFormat="1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0" fillId="0" borderId="0" xfId="2" applyFont="1" applyAlignment="1">
      <alignment horizontal="left" vertical="top"/>
    </xf>
    <xf numFmtId="0" fontId="10" fillId="0" borderId="20" xfId="2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49" fontId="11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17" xfId="2" applyFont="1" applyBorder="1" applyAlignment="1">
      <alignment horizontal="left" vertical="top"/>
    </xf>
    <xf numFmtId="0" fontId="11" fillId="0" borderId="16" xfId="2" applyFont="1" applyBorder="1" applyAlignment="1">
      <alignment horizontal="left" vertical="top"/>
    </xf>
    <xf numFmtId="0" fontId="10" fillId="0" borderId="0" xfId="2" applyFont="1" applyAlignment="1">
      <alignment horizontal="left" vertical="top" wrapText="1"/>
    </xf>
    <xf numFmtId="0" fontId="10" fillId="0" borderId="20" xfId="2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E9DC21A3-FB6C-43E0-800E-B71C51A6B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lwi\Desktop\Sunil\OGS-%20ITR%20FY%202024-25.xlsx" TargetMode="External"/><Relationship Id="rId1" Type="http://schemas.openxmlformats.org/officeDocument/2006/relationships/externalLinkPath" Target="OGS-%20ITR%20FY%20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I 2024-25"/>
      <sheetName val="PL 2024-25"/>
      <sheetName val="BS 2024-25"/>
      <sheetName val="Sheet1"/>
    </sheetNames>
    <sheetDataSet>
      <sheetData sheetId="0" refreshError="1"/>
      <sheetData sheetId="1" refreshError="1"/>
      <sheetData sheetId="2">
        <row r="14">
          <cell r="D14">
            <v>1131000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B4DD-5A1F-4237-9FB3-5A4EF065B051}">
  <sheetPr>
    <tabColor theme="5" tint="0.39997558519241921"/>
  </sheetPr>
  <dimension ref="A1:L75"/>
  <sheetViews>
    <sheetView topLeftCell="A39" zoomScale="56" workbookViewId="0">
      <selection activeCell="H83" sqref="H83"/>
    </sheetView>
  </sheetViews>
  <sheetFormatPr defaultColWidth="9.109375" defaultRowHeight="13.8" x14ac:dyDescent="0.25"/>
  <cols>
    <col min="1" max="1" width="8.77734375" style="1" customWidth="1"/>
    <col min="2" max="2" width="89.33203125" style="1" customWidth="1"/>
    <col min="3" max="3" width="2.6640625" style="1" bestFit="1" customWidth="1"/>
    <col min="4" max="4" width="16.21875" style="1" customWidth="1"/>
    <col min="5" max="5" width="18.33203125" style="1" customWidth="1"/>
    <col min="6" max="6" width="14.5546875" style="1" customWidth="1"/>
    <col min="7" max="7" width="9.109375" style="1"/>
    <col min="8" max="8" width="20.6640625" style="1" bestFit="1" customWidth="1"/>
    <col min="9" max="9" width="11.21875" style="1" bestFit="1" customWidth="1"/>
    <col min="10" max="10" width="11.21875" style="1" customWidth="1"/>
    <col min="11" max="11" width="4.88671875" style="1" bestFit="1" customWidth="1"/>
    <col min="12" max="12" width="10.88671875" style="1" bestFit="1" customWidth="1"/>
    <col min="13" max="16384" width="9.109375" style="1"/>
  </cols>
  <sheetData>
    <row r="1" spans="1:6" x14ac:dyDescent="0.25">
      <c r="A1" s="49"/>
      <c r="E1" s="49"/>
      <c r="F1" s="50"/>
    </row>
    <row r="2" spans="1:6" x14ac:dyDescent="0.25">
      <c r="A2" s="49"/>
      <c r="B2" s="118" t="s">
        <v>42</v>
      </c>
      <c r="C2" s="119"/>
      <c r="D2" s="119"/>
      <c r="E2" s="49"/>
      <c r="F2" s="50"/>
    </row>
    <row r="3" spans="1:6" x14ac:dyDescent="0.25">
      <c r="A3" s="51" t="s">
        <v>43</v>
      </c>
      <c r="B3" s="52" t="s">
        <v>111</v>
      </c>
      <c r="C3" s="53"/>
      <c r="D3" s="120" t="s">
        <v>121</v>
      </c>
      <c r="E3" s="120"/>
      <c r="F3" s="121"/>
    </row>
    <row r="4" spans="1:6" x14ac:dyDescent="0.25">
      <c r="A4" s="54" t="s">
        <v>44</v>
      </c>
      <c r="B4" s="55" t="s">
        <v>45</v>
      </c>
      <c r="C4" s="56"/>
      <c r="D4" s="56"/>
      <c r="E4" s="57"/>
      <c r="F4" s="58"/>
    </row>
    <row r="5" spans="1:6" x14ac:dyDescent="0.25">
      <c r="A5" s="51"/>
      <c r="B5" s="50"/>
      <c r="C5" s="50"/>
      <c r="D5" s="50"/>
      <c r="E5" s="49"/>
      <c r="F5" s="59"/>
    </row>
    <row r="6" spans="1:6" x14ac:dyDescent="0.25">
      <c r="A6" s="60" t="s">
        <v>46</v>
      </c>
      <c r="B6" s="61" t="s">
        <v>112</v>
      </c>
      <c r="C6" s="50"/>
      <c r="D6" s="112" t="s">
        <v>120</v>
      </c>
      <c r="E6" s="112"/>
      <c r="F6" s="113"/>
    </row>
    <row r="7" spans="1:6" x14ac:dyDescent="0.25">
      <c r="A7" s="60" t="s">
        <v>47</v>
      </c>
      <c r="C7" s="50"/>
      <c r="D7" s="122" t="s">
        <v>114</v>
      </c>
      <c r="E7" s="122"/>
      <c r="F7" s="123"/>
    </row>
    <row r="8" spans="1:6" x14ac:dyDescent="0.25">
      <c r="A8" s="60" t="s">
        <v>48</v>
      </c>
      <c r="B8" s="61"/>
      <c r="C8" s="50"/>
      <c r="D8" s="112" t="s">
        <v>113</v>
      </c>
      <c r="E8" s="112"/>
      <c r="F8" s="113"/>
    </row>
    <row r="9" spans="1:6" x14ac:dyDescent="0.25">
      <c r="A9" s="60" t="s">
        <v>49</v>
      </c>
      <c r="B9" s="61" t="s">
        <v>50</v>
      </c>
      <c r="C9" s="50"/>
      <c r="D9" s="112" t="s">
        <v>51</v>
      </c>
      <c r="E9" s="112"/>
      <c r="F9" s="113"/>
    </row>
    <row r="10" spans="1:6" x14ac:dyDescent="0.25">
      <c r="A10" s="62"/>
      <c r="C10" s="50"/>
      <c r="D10" s="112" t="s">
        <v>52</v>
      </c>
      <c r="E10" s="112"/>
      <c r="F10" s="113"/>
    </row>
    <row r="11" spans="1:6" x14ac:dyDescent="0.25">
      <c r="A11" s="54"/>
      <c r="B11" s="50">
        <v>0</v>
      </c>
      <c r="C11" s="50"/>
      <c r="E11" s="49"/>
      <c r="F11" s="59"/>
    </row>
    <row r="12" spans="1:6" x14ac:dyDescent="0.25">
      <c r="A12" s="63"/>
      <c r="B12" s="64" t="s">
        <v>53</v>
      </c>
      <c r="C12" s="65"/>
      <c r="D12" s="65"/>
      <c r="E12" s="66"/>
      <c r="F12" s="67"/>
    </row>
    <row r="13" spans="1:6" x14ac:dyDescent="0.25">
      <c r="A13" s="59"/>
      <c r="B13" s="68" t="s">
        <v>54</v>
      </c>
      <c r="C13" s="50"/>
      <c r="D13" s="69" t="s">
        <v>55</v>
      </c>
      <c r="E13" s="69" t="s">
        <v>55</v>
      </c>
      <c r="F13" s="69" t="s">
        <v>55</v>
      </c>
    </row>
    <row r="14" spans="1:6" x14ac:dyDescent="0.25">
      <c r="A14" s="59"/>
      <c r="B14" s="50"/>
      <c r="C14" s="50"/>
      <c r="D14" s="70" t="s">
        <v>56</v>
      </c>
      <c r="E14" s="70" t="s">
        <v>56</v>
      </c>
      <c r="F14" s="70" t="s">
        <v>56</v>
      </c>
    </row>
    <row r="15" spans="1:6" x14ac:dyDescent="0.25">
      <c r="A15" s="62"/>
      <c r="D15" s="71"/>
      <c r="E15" s="71"/>
      <c r="F15" s="71"/>
    </row>
    <row r="16" spans="1:6" x14ac:dyDescent="0.25">
      <c r="A16" s="72">
        <v>1</v>
      </c>
      <c r="B16" s="68" t="s">
        <v>57</v>
      </c>
      <c r="C16" s="73"/>
      <c r="D16" s="74"/>
      <c r="E16" s="74"/>
      <c r="F16" s="74"/>
    </row>
    <row r="17" spans="1:6" x14ac:dyDescent="0.25">
      <c r="A17" s="72"/>
      <c r="B17" s="68" t="s">
        <v>58</v>
      </c>
      <c r="C17" s="75"/>
      <c r="D17" s="76"/>
      <c r="E17" s="76"/>
      <c r="F17" s="76"/>
    </row>
    <row r="18" spans="1:6" x14ac:dyDescent="0.25">
      <c r="A18" s="59"/>
      <c r="B18" s="77" t="s">
        <v>59</v>
      </c>
      <c r="C18" s="50"/>
      <c r="D18" s="78"/>
      <c r="E18" s="78"/>
      <c r="F18" s="78"/>
    </row>
    <row r="19" spans="1:6" x14ac:dyDescent="0.25">
      <c r="A19" s="59"/>
      <c r="B19" s="79" t="s">
        <v>60</v>
      </c>
      <c r="C19" s="80" t="s">
        <v>61</v>
      </c>
      <c r="D19" s="78"/>
      <c r="E19" s="81">
        <f>'PL 2025-26'!C29</f>
        <v>847750</v>
      </c>
      <c r="F19" s="78"/>
    </row>
    <row r="20" spans="1:6" x14ac:dyDescent="0.25">
      <c r="A20" s="59"/>
      <c r="B20" s="68" t="s">
        <v>62</v>
      </c>
      <c r="C20" s="50"/>
      <c r="D20" s="78"/>
      <c r="E20" s="78"/>
      <c r="F20" s="78"/>
    </row>
    <row r="21" spans="1:6" x14ac:dyDescent="0.25">
      <c r="A21" s="59"/>
      <c r="B21" s="77" t="s">
        <v>63</v>
      </c>
      <c r="C21" s="50"/>
      <c r="D21" s="82">
        <f>'PL 2025-26'!C22</f>
        <v>232250</v>
      </c>
      <c r="E21" s="78"/>
      <c r="F21" s="78"/>
    </row>
    <row r="22" spans="1:6" x14ac:dyDescent="0.25">
      <c r="A22" s="59"/>
      <c r="B22" s="68" t="s">
        <v>64</v>
      </c>
      <c r="C22" s="50"/>
      <c r="D22" s="83"/>
      <c r="E22" s="82">
        <f>D21</f>
        <v>232250</v>
      </c>
      <c r="F22" s="78"/>
    </row>
    <row r="23" spans="1:6" x14ac:dyDescent="0.25">
      <c r="A23" s="59"/>
      <c r="B23" s="79" t="s">
        <v>65</v>
      </c>
      <c r="C23" s="50"/>
      <c r="D23" s="78"/>
      <c r="E23" s="81">
        <f>E22</f>
        <v>232250</v>
      </c>
      <c r="F23" s="78"/>
    </row>
    <row r="24" spans="1:6" x14ac:dyDescent="0.25">
      <c r="A24" s="59"/>
      <c r="B24" s="50"/>
      <c r="C24" s="50"/>
      <c r="D24" s="78"/>
      <c r="E24" s="82"/>
      <c r="F24" s="78"/>
    </row>
    <row r="25" spans="1:6" x14ac:dyDescent="0.25">
      <c r="A25" s="59"/>
      <c r="B25" s="68" t="s">
        <v>66</v>
      </c>
      <c r="C25" s="80" t="s">
        <v>61</v>
      </c>
      <c r="D25" s="78"/>
      <c r="E25" s="82">
        <f>'PL 2025-26'!C22</f>
        <v>232250</v>
      </c>
      <c r="F25" s="78"/>
    </row>
    <row r="26" spans="1:6" x14ac:dyDescent="0.25">
      <c r="A26" s="59"/>
      <c r="B26" s="79" t="s">
        <v>67</v>
      </c>
      <c r="C26" s="75"/>
      <c r="D26" s="84"/>
      <c r="E26" s="81">
        <f>E24+E25</f>
        <v>232250</v>
      </c>
      <c r="F26" s="78"/>
    </row>
    <row r="27" spans="1:6" x14ac:dyDescent="0.25">
      <c r="A27" s="59"/>
      <c r="B27" s="68" t="s">
        <v>68</v>
      </c>
      <c r="C27" s="80" t="s">
        <v>61</v>
      </c>
      <c r="D27" s="78"/>
      <c r="E27" s="85">
        <f>E19+E23-E26</f>
        <v>847750</v>
      </c>
      <c r="F27" s="78"/>
    </row>
    <row r="28" spans="1:6" x14ac:dyDescent="0.25">
      <c r="A28" s="62"/>
      <c r="D28" s="86"/>
      <c r="E28" s="86"/>
      <c r="F28" s="86"/>
    </row>
    <row r="29" spans="1:6" x14ac:dyDescent="0.25">
      <c r="A29" s="59"/>
      <c r="B29" s="68" t="s">
        <v>69</v>
      </c>
      <c r="C29" s="80" t="s">
        <v>61</v>
      </c>
      <c r="D29" s="78"/>
      <c r="E29" s="78"/>
      <c r="F29" s="84">
        <f>E27</f>
        <v>847750</v>
      </c>
    </row>
    <row r="30" spans="1:6" x14ac:dyDescent="0.25">
      <c r="A30" s="72">
        <v>2</v>
      </c>
      <c r="B30" s="68" t="s">
        <v>70</v>
      </c>
      <c r="C30" s="50"/>
      <c r="D30" s="78"/>
      <c r="E30" s="78"/>
      <c r="F30" s="78"/>
    </row>
    <row r="31" spans="1:6" x14ac:dyDescent="0.25">
      <c r="A31" s="59"/>
      <c r="B31" s="68" t="s">
        <v>71</v>
      </c>
      <c r="C31" s="50"/>
      <c r="D31" s="78"/>
      <c r="E31" s="78"/>
      <c r="F31" s="78"/>
    </row>
    <row r="32" spans="1:6" x14ac:dyDescent="0.25">
      <c r="A32" s="59"/>
      <c r="B32" s="77" t="s">
        <v>72</v>
      </c>
      <c r="C32" s="50"/>
      <c r="D32" s="87">
        <v>25000</v>
      </c>
      <c r="E32" s="82">
        <f>D32</f>
        <v>25000</v>
      </c>
      <c r="F32" s="78"/>
    </row>
    <row r="33" spans="1:6" x14ac:dyDescent="0.25">
      <c r="A33" s="62"/>
      <c r="D33" s="86"/>
      <c r="E33" s="86"/>
      <c r="F33" s="86"/>
    </row>
    <row r="34" spans="1:6" x14ac:dyDescent="0.25">
      <c r="A34" s="59"/>
      <c r="B34" s="68" t="s">
        <v>73</v>
      </c>
      <c r="C34" s="50"/>
      <c r="D34" s="78"/>
      <c r="E34" s="78"/>
      <c r="F34" s="84">
        <f>E32</f>
        <v>25000</v>
      </c>
    </row>
    <row r="35" spans="1:6" x14ac:dyDescent="0.25">
      <c r="A35" s="62"/>
      <c r="D35" s="86"/>
      <c r="E35" s="86"/>
      <c r="F35" s="86"/>
    </row>
    <row r="36" spans="1:6" x14ac:dyDescent="0.25">
      <c r="A36" s="88"/>
      <c r="B36" s="89" t="s">
        <v>74</v>
      </c>
      <c r="C36" s="90" t="s">
        <v>61</v>
      </c>
      <c r="D36" s="91"/>
      <c r="E36" s="91"/>
      <c r="F36" s="91">
        <f>F29+F34</f>
        <v>872750</v>
      </c>
    </row>
    <row r="37" spans="1:6" x14ac:dyDescent="0.25">
      <c r="A37" s="59"/>
      <c r="B37" s="68"/>
      <c r="C37" s="50"/>
      <c r="D37" s="78"/>
      <c r="E37" s="78"/>
      <c r="F37" s="78"/>
    </row>
    <row r="38" spans="1:6" x14ac:dyDescent="0.25">
      <c r="A38" s="62"/>
      <c r="D38" s="86"/>
      <c r="E38" s="86"/>
      <c r="F38" s="86"/>
    </row>
    <row r="39" spans="1:6" x14ac:dyDescent="0.25">
      <c r="A39" s="59"/>
      <c r="B39" s="68" t="s">
        <v>75</v>
      </c>
      <c r="C39" s="50"/>
      <c r="D39" s="78"/>
      <c r="E39" s="78"/>
      <c r="F39" s="78"/>
    </row>
    <row r="40" spans="1:6" x14ac:dyDescent="0.25">
      <c r="A40" s="59"/>
      <c r="B40" s="68" t="s">
        <v>76</v>
      </c>
      <c r="C40" s="75"/>
      <c r="D40" s="92" t="s">
        <v>77</v>
      </c>
      <c r="E40" s="92" t="s">
        <v>78</v>
      </c>
      <c r="F40" s="92" t="s">
        <v>79</v>
      </c>
    </row>
    <row r="41" spans="1:6" x14ac:dyDescent="0.25">
      <c r="A41" s="59"/>
      <c r="B41" s="77" t="s">
        <v>80</v>
      </c>
      <c r="C41" s="80" t="s">
        <v>61</v>
      </c>
      <c r="D41" s="78"/>
      <c r="E41" s="78"/>
      <c r="F41" s="78"/>
    </row>
    <row r="42" spans="1:6" x14ac:dyDescent="0.25">
      <c r="A42" s="59"/>
      <c r="B42" s="68" t="s">
        <v>81</v>
      </c>
      <c r="C42" s="50"/>
      <c r="D42" s="82">
        <v>0</v>
      </c>
      <c r="E42" s="82">
        <v>0</v>
      </c>
      <c r="F42" s="78"/>
    </row>
    <row r="43" spans="1:6" x14ac:dyDescent="0.25">
      <c r="A43" s="59"/>
      <c r="B43" s="77" t="s">
        <v>82</v>
      </c>
      <c r="C43" s="80" t="s">
        <v>61</v>
      </c>
      <c r="D43" s="78"/>
      <c r="E43" s="78"/>
      <c r="F43" s="78"/>
    </row>
    <row r="44" spans="1:6" x14ac:dyDescent="0.25">
      <c r="A44" s="59"/>
      <c r="B44" s="77" t="s">
        <v>83</v>
      </c>
      <c r="C44" s="50"/>
      <c r="D44" s="82">
        <v>0</v>
      </c>
      <c r="E44" s="82">
        <v>0</v>
      </c>
      <c r="F44" s="78"/>
    </row>
    <row r="45" spans="1:6" x14ac:dyDescent="0.25">
      <c r="A45" s="59"/>
      <c r="B45" s="77" t="s">
        <v>84</v>
      </c>
      <c r="C45" s="80" t="s">
        <v>61</v>
      </c>
      <c r="D45" s="82">
        <v>0</v>
      </c>
      <c r="E45" s="82">
        <f>D45</f>
        <v>0</v>
      </c>
      <c r="F45" s="78"/>
    </row>
    <row r="46" spans="1:6" x14ac:dyDescent="0.25">
      <c r="A46" s="62"/>
      <c r="D46" s="86"/>
      <c r="E46" s="86"/>
      <c r="F46" s="86"/>
    </row>
    <row r="47" spans="1:6" x14ac:dyDescent="0.25">
      <c r="A47" s="59"/>
      <c r="B47" s="93" t="s">
        <v>85</v>
      </c>
      <c r="C47" s="50"/>
      <c r="D47" s="78"/>
      <c r="E47" s="78"/>
      <c r="F47" s="84">
        <f>E44+E45</f>
        <v>0</v>
      </c>
    </row>
    <row r="48" spans="1:6" x14ac:dyDescent="0.25">
      <c r="A48" s="88"/>
      <c r="B48" s="89" t="s">
        <v>86</v>
      </c>
      <c r="C48" s="90" t="s">
        <v>61</v>
      </c>
      <c r="D48" s="91"/>
      <c r="E48" s="91"/>
      <c r="F48" s="91">
        <f>F36-F47</f>
        <v>872750</v>
      </c>
    </row>
    <row r="49" spans="1:12" x14ac:dyDescent="0.25">
      <c r="A49" s="59"/>
      <c r="B49" s="77" t="s">
        <v>87</v>
      </c>
      <c r="C49" s="80" t="s">
        <v>61</v>
      </c>
      <c r="D49" s="78"/>
      <c r="E49" s="78"/>
      <c r="F49" s="82">
        <f>ROUND(F48,-1)</f>
        <v>872750</v>
      </c>
    </row>
    <row r="50" spans="1:12" x14ac:dyDescent="0.25">
      <c r="A50" s="94"/>
      <c r="B50" s="89" t="s">
        <v>88</v>
      </c>
      <c r="C50" s="53" t="s">
        <v>61</v>
      </c>
      <c r="D50" s="83"/>
      <c r="E50" s="83"/>
      <c r="F50" s="83"/>
    </row>
    <row r="51" spans="1:12" x14ac:dyDescent="0.25">
      <c r="A51" s="59"/>
      <c r="B51" s="68" t="s">
        <v>89</v>
      </c>
      <c r="C51" s="75"/>
      <c r="D51" s="92" t="s">
        <v>90</v>
      </c>
      <c r="E51" s="92" t="s">
        <v>91</v>
      </c>
      <c r="F51" s="78"/>
      <c r="H51" s="1" t="s">
        <v>92</v>
      </c>
    </row>
    <row r="52" spans="1:12" x14ac:dyDescent="0.25">
      <c r="A52" s="62"/>
      <c r="D52" s="86"/>
      <c r="E52" s="86"/>
      <c r="F52" s="86"/>
      <c r="H52" s="1" t="s">
        <v>93</v>
      </c>
      <c r="I52" s="1">
        <f>300000</f>
        <v>300000</v>
      </c>
      <c r="J52" s="1">
        <f>300000</f>
        <v>300000</v>
      </c>
      <c r="K52" s="1">
        <v>0</v>
      </c>
      <c r="L52" s="1">
        <f>I52*0</f>
        <v>0</v>
      </c>
    </row>
    <row r="53" spans="1:12" x14ac:dyDescent="0.25">
      <c r="A53" s="59"/>
      <c r="B53" s="77" t="s">
        <v>94</v>
      </c>
      <c r="C53" s="50"/>
      <c r="D53" s="87">
        <f>F49</f>
        <v>872750</v>
      </c>
      <c r="E53" s="87">
        <f>L58</f>
        <v>53412.5</v>
      </c>
      <c r="F53" s="78"/>
      <c r="H53" s="1" t="s">
        <v>95</v>
      </c>
      <c r="I53" s="32">
        <v>400000</v>
      </c>
      <c r="J53" s="32">
        <v>400000</v>
      </c>
      <c r="K53" s="95">
        <v>0.05</v>
      </c>
      <c r="L53" s="32">
        <f>J53*K53</f>
        <v>20000</v>
      </c>
    </row>
    <row r="54" spans="1:12" x14ac:dyDescent="0.25">
      <c r="A54" s="59"/>
      <c r="B54" s="77" t="s">
        <v>96</v>
      </c>
      <c r="C54" s="50"/>
      <c r="D54" s="78"/>
      <c r="E54" s="78"/>
      <c r="F54" s="82">
        <f>E53</f>
        <v>53412.5</v>
      </c>
      <c r="H54" s="1" t="s">
        <v>117</v>
      </c>
      <c r="I54" s="32">
        <v>300000</v>
      </c>
      <c r="J54" s="32">
        <v>300000</v>
      </c>
      <c r="K54" s="95">
        <v>0.1</v>
      </c>
      <c r="L54" s="32">
        <f>J54*K54</f>
        <v>30000</v>
      </c>
    </row>
    <row r="55" spans="1:12" x14ac:dyDescent="0.25">
      <c r="A55" s="59"/>
      <c r="B55" s="77" t="s">
        <v>97</v>
      </c>
      <c r="C55" s="50"/>
      <c r="D55" s="78"/>
      <c r="E55" s="78"/>
      <c r="F55" s="82">
        <f>F54</f>
        <v>53412.5</v>
      </c>
      <c r="H55" s="1" t="s">
        <v>118</v>
      </c>
      <c r="I55" s="32">
        <v>200000</v>
      </c>
      <c r="J55" s="32">
        <v>22750</v>
      </c>
      <c r="K55" s="95">
        <v>0.15</v>
      </c>
      <c r="L55" s="32">
        <f>J55*K55</f>
        <v>3412.5</v>
      </c>
    </row>
    <row r="56" spans="1:12" x14ac:dyDescent="0.25">
      <c r="A56" s="59"/>
      <c r="B56" s="77" t="s">
        <v>98</v>
      </c>
      <c r="C56" s="50"/>
      <c r="D56" s="78"/>
      <c r="E56" s="78"/>
      <c r="F56" s="84">
        <f>F54-F55</f>
        <v>0</v>
      </c>
    </row>
    <row r="57" spans="1:12" x14ac:dyDescent="0.25">
      <c r="A57" s="59"/>
      <c r="B57" s="77" t="s">
        <v>99</v>
      </c>
      <c r="C57" s="80" t="s">
        <v>61</v>
      </c>
      <c r="D57" s="78"/>
      <c r="E57" s="78"/>
      <c r="F57" s="82">
        <f>F56*4%</f>
        <v>0</v>
      </c>
    </row>
    <row r="58" spans="1:12" x14ac:dyDescent="0.25">
      <c r="A58" s="72"/>
      <c r="B58" s="68" t="s">
        <v>100</v>
      </c>
      <c r="C58" s="75" t="s">
        <v>61</v>
      </c>
      <c r="D58" s="84"/>
      <c r="E58" s="84"/>
      <c r="F58" s="91">
        <f>F56+F57</f>
        <v>0</v>
      </c>
      <c r="L58" s="1">
        <f>SUM(L53:L56)</f>
        <v>53412.5</v>
      </c>
    </row>
    <row r="59" spans="1:12" x14ac:dyDescent="0.25">
      <c r="A59" s="62"/>
      <c r="D59" s="86"/>
      <c r="E59" s="86"/>
      <c r="F59" s="86"/>
    </row>
    <row r="60" spans="1:12" x14ac:dyDescent="0.25">
      <c r="A60" s="59"/>
      <c r="B60" s="68" t="s">
        <v>101</v>
      </c>
      <c r="C60" s="75" t="s">
        <v>61</v>
      </c>
      <c r="D60" s="84"/>
      <c r="E60" s="84"/>
      <c r="F60" s="84">
        <v>0</v>
      </c>
    </row>
    <row r="61" spans="1:12" x14ac:dyDescent="0.25">
      <c r="A61" s="59"/>
      <c r="B61" s="68" t="s">
        <v>102</v>
      </c>
      <c r="C61" s="75" t="s">
        <v>61</v>
      </c>
      <c r="D61" s="84"/>
      <c r="E61" s="84"/>
      <c r="F61" s="84">
        <v>0</v>
      </c>
    </row>
    <row r="62" spans="1:12" x14ac:dyDescent="0.25">
      <c r="A62" s="94"/>
      <c r="B62" s="96" t="s">
        <v>103</v>
      </c>
      <c r="C62" s="53"/>
      <c r="D62" s="83"/>
      <c r="E62" s="83"/>
      <c r="F62" s="83">
        <f>F58-F60-F61</f>
        <v>0</v>
      </c>
    </row>
    <row r="63" spans="1:12" x14ac:dyDescent="0.25">
      <c r="A63" s="59"/>
      <c r="B63" s="68" t="s">
        <v>104</v>
      </c>
      <c r="C63" s="50"/>
      <c r="D63" s="78"/>
      <c r="E63" s="78"/>
      <c r="F63" s="78"/>
    </row>
    <row r="64" spans="1:12" x14ac:dyDescent="0.25">
      <c r="A64" s="88"/>
      <c r="B64" s="89" t="s">
        <v>105</v>
      </c>
      <c r="C64" s="90" t="s">
        <v>61</v>
      </c>
      <c r="D64" s="91"/>
      <c r="E64" s="91"/>
      <c r="F64" s="97" t="s">
        <v>106</v>
      </c>
    </row>
    <row r="65" spans="1:6" x14ac:dyDescent="0.25">
      <c r="A65" s="59"/>
      <c r="B65" s="68" t="s">
        <v>107</v>
      </c>
      <c r="C65" s="50"/>
      <c r="D65" s="78"/>
      <c r="E65" s="78"/>
      <c r="F65" s="78">
        <f>0</f>
        <v>0</v>
      </c>
    </row>
    <row r="66" spans="1:6" x14ac:dyDescent="0.25">
      <c r="A66" s="59"/>
      <c r="B66" s="77" t="s">
        <v>108</v>
      </c>
      <c r="C66" s="80" t="s">
        <v>61</v>
      </c>
      <c r="D66" s="87">
        <v>0</v>
      </c>
      <c r="E66" s="82">
        <f>D66</f>
        <v>0</v>
      </c>
      <c r="F66" s="82">
        <v>0</v>
      </c>
    </row>
    <row r="67" spans="1:6" x14ac:dyDescent="0.25">
      <c r="A67" s="98"/>
      <c r="B67" s="99" t="s">
        <v>109</v>
      </c>
      <c r="C67" s="100" t="s">
        <v>61</v>
      </c>
      <c r="D67" s="85"/>
      <c r="E67" s="81"/>
      <c r="F67" s="101" t="s">
        <v>106</v>
      </c>
    </row>
    <row r="68" spans="1:6" x14ac:dyDescent="0.25">
      <c r="A68" s="102"/>
      <c r="B68" s="77"/>
      <c r="C68" s="80"/>
      <c r="D68" s="82"/>
      <c r="E68" s="82"/>
      <c r="F68" s="82"/>
    </row>
    <row r="69" spans="1:6" x14ac:dyDescent="0.25">
      <c r="A69" s="103"/>
      <c r="B69" s="104"/>
      <c r="C69" s="104"/>
      <c r="D69" s="105"/>
      <c r="E69" s="105"/>
      <c r="F69" s="106"/>
    </row>
    <row r="70" spans="1:6" x14ac:dyDescent="0.25">
      <c r="A70" s="107"/>
      <c r="D70" s="32"/>
      <c r="E70" s="32"/>
      <c r="F70" s="108"/>
    </row>
    <row r="71" spans="1:6" x14ac:dyDescent="0.25">
      <c r="A71" s="107"/>
      <c r="D71" s="32"/>
      <c r="E71" s="32"/>
      <c r="F71" s="108"/>
    </row>
    <row r="72" spans="1:6" x14ac:dyDescent="0.25">
      <c r="A72" s="107"/>
      <c r="D72" s="32"/>
      <c r="E72" s="32"/>
      <c r="F72" s="108"/>
    </row>
    <row r="73" spans="1:6" x14ac:dyDescent="0.25">
      <c r="A73" s="107"/>
      <c r="B73" s="1" t="s">
        <v>13</v>
      </c>
      <c r="D73" s="114" t="s">
        <v>39</v>
      </c>
      <c r="E73" s="114"/>
      <c r="F73" s="115"/>
    </row>
    <row r="74" spans="1:6" x14ac:dyDescent="0.25">
      <c r="A74" s="107"/>
      <c r="B74" s="1" t="s">
        <v>110</v>
      </c>
      <c r="D74" s="116" t="s">
        <v>15</v>
      </c>
      <c r="E74" s="116"/>
      <c r="F74" s="117"/>
    </row>
    <row r="75" spans="1:6" x14ac:dyDescent="0.25">
      <c r="A75" s="109"/>
      <c r="B75" s="110"/>
      <c r="C75" s="110"/>
      <c r="D75" s="110"/>
      <c r="E75" s="110"/>
      <c r="F75" s="111"/>
    </row>
  </sheetData>
  <mergeCells count="9">
    <mergeCell ref="D10:F10"/>
    <mergeCell ref="D73:F73"/>
    <mergeCell ref="D74:F74"/>
    <mergeCell ref="B2:D2"/>
    <mergeCell ref="D3:F3"/>
    <mergeCell ref="D6:F6"/>
    <mergeCell ref="D7:F7"/>
    <mergeCell ref="D8:F8"/>
    <mergeCell ref="D9:F9"/>
  </mergeCells>
  <pageMargins left="0.70866141732283472" right="0.70866141732283472" top="0.74803149606299213" bottom="0.74803149606299213" header="0.31496062992125984" footer="0.31496062992125984"/>
  <pageSetup scale="6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9F9B-DBBB-4FB3-85C9-CF2C0C88B1D9}">
  <sheetPr>
    <tabColor theme="5" tint="0.39997558519241921"/>
  </sheetPr>
  <dimension ref="B2:H41"/>
  <sheetViews>
    <sheetView topLeftCell="A14" zoomScale="93" workbookViewId="0">
      <selection activeCell="D25" sqref="D25"/>
    </sheetView>
  </sheetViews>
  <sheetFormatPr defaultColWidth="8.88671875" defaultRowHeight="13.8" x14ac:dyDescent="0.25"/>
  <cols>
    <col min="1" max="1" width="8.88671875" style="1"/>
    <col min="2" max="2" width="34.44140625" style="1" customWidth="1"/>
    <col min="3" max="3" width="13.88671875" style="1" bestFit="1" customWidth="1"/>
    <col min="4" max="4" width="36.21875" style="1" customWidth="1"/>
    <col min="5" max="5" width="13.88671875" style="1" bestFit="1" customWidth="1"/>
    <col min="6" max="8" width="13.21875" style="1" bestFit="1" customWidth="1"/>
    <col min="9" max="16384" width="8.88671875" style="1"/>
  </cols>
  <sheetData>
    <row r="2" spans="2:8" ht="14.4" thickBot="1" x14ac:dyDescent="0.3"/>
    <row r="3" spans="2:8" ht="14.4" thickBot="1" x14ac:dyDescent="0.3">
      <c r="B3" s="124" t="s">
        <v>39</v>
      </c>
      <c r="C3" s="125"/>
      <c r="D3" s="125"/>
      <c r="E3" s="126"/>
    </row>
    <row r="4" spans="2:8" ht="14.4" thickBot="1" x14ac:dyDescent="0.3">
      <c r="B4" s="124" t="s">
        <v>40</v>
      </c>
      <c r="C4" s="125"/>
      <c r="D4" s="125"/>
      <c r="E4" s="126"/>
    </row>
    <row r="5" spans="2:8" ht="14.4" thickBot="1" x14ac:dyDescent="0.3">
      <c r="B5" s="124" t="s">
        <v>119</v>
      </c>
      <c r="C5" s="125"/>
      <c r="D5" s="125"/>
      <c r="E5" s="126"/>
    </row>
    <row r="6" spans="2:8" ht="14.4" thickBot="1" x14ac:dyDescent="0.3">
      <c r="B6" s="2" t="s">
        <v>0</v>
      </c>
      <c r="C6" s="3" t="s">
        <v>1</v>
      </c>
      <c r="D6" s="3" t="s">
        <v>0</v>
      </c>
      <c r="E6" s="3" t="s">
        <v>1</v>
      </c>
    </row>
    <row r="7" spans="2:8" x14ac:dyDescent="0.25">
      <c r="B7" s="4"/>
      <c r="C7" s="5"/>
      <c r="D7" s="6"/>
      <c r="E7" s="5"/>
    </row>
    <row r="8" spans="2:8" x14ac:dyDescent="0.25">
      <c r="B8" s="7" t="s">
        <v>2</v>
      </c>
      <c r="C8" s="5">
        <f>20000*12</f>
        <v>240000</v>
      </c>
      <c r="D8" s="6" t="s">
        <v>36</v>
      </c>
      <c r="E8" s="5">
        <v>6150000</v>
      </c>
      <c r="F8" s="8"/>
      <c r="G8" s="8"/>
      <c r="H8" s="8"/>
    </row>
    <row r="9" spans="2:8" x14ac:dyDescent="0.25">
      <c r="B9" s="7"/>
      <c r="C9" s="5"/>
      <c r="D9" s="6"/>
      <c r="E9" s="5"/>
    </row>
    <row r="10" spans="2:8" x14ac:dyDescent="0.25">
      <c r="B10" s="7" t="s">
        <v>3</v>
      </c>
      <c r="C10" s="5">
        <v>900000</v>
      </c>
      <c r="D10" s="6"/>
      <c r="E10" s="5"/>
      <c r="F10" s="8"/>
      <c r="G10" s="8"/>
      <c r="H10" s="8"/>
    </row>
    <row r="11" spans="2:8" x14ac:dyDescent="0.25">
      <c r="B11" s="7"/>
      <c r="C11" s="5"/>
      <c r="D11" s="6"/>
      <c r="E11" s="5"/>
    </row>
    <row r="12" spans="2:8" ht="15" customHeight="1" x14ac:dyDescent="0.25">
      <c r="B12" s="7" t="s">
        <v>4</v>
      </c>
      <c r="C12" s="5">
        <f>80000*12</f>
        <v>960000</v>
      </c>
      <c r="D12" s="9"/>
      <c r="E12" s="5"/>
    </row>
    <row r="13" spans="2:8" x14ac:dyDescent="0.25">
      <c r="B13" s="7"/>
      <c r="C13" s="5"/>
      <c r="D13" s="6"/>
      <c r="E13" s="5"/>
    </row>
    <row r="14" spans="2:8" x14ac:dyDescent="0.25">
      <c r="B14" s="7" t="s">
        <v>5</v>
      </c>
      <c r="C14" s="5">
        <f>20000*12</f>
        <v>240000</v>
      </c>
      <c r="D14" s="6"/>
      <c r="E14" s="5"/>
    </row>
    <row r="15" spans="2:8" x14ac:dyDescent="0.25">
      <c r="B15" s="7"/>
      <c r="C15" s="5"/>
      <c r="D15" s="6"/>
      <c r="E15" s="5"/>
    </row>
    <row r="16" spans="2:8" x14ac:dyDescent="0.25">
      <c r="B16" s="7" t="s">
        <v>6</v>
      </c>
      <c r="C16" s="5">
        <f>10000*12</f>
        <v>120000</v>
      </c>
      <c r="D16" s="6"/>
      <c r="E16" s="5"/>
    </row>
    <row r="17" spans="2:6" x14ac:dyDescent="0.25">
      <c r="B17" s="7"/>
      <c r="C17" s="5"/>
      <c r="D17" s="6"/>
      <c r="E17" s="5"/>
    </row>
    <row r="18" spans="2:6" x14ac:dyDescent="0.25">
      <c r="B18" s="7" t="s">
        <v>7</v>
      </c>
      <c r="C18" s="5">
        <f>2200000</f>
        <v>2200000</v>
      </c>
      <c r="D18" s="6"/>
      <c r="E18" s="5"/>
    </row>
    <row r="19" spans="2:6" x14ac:dyDescent="0.25">
      <c r="B19" s="7"/>
      <c r="C19" s="5"/>
      <c r="D19" s="6"/>
      <c r="E19" s="5"/>
    </row>
    <row r="20" spans="2:6" x14ac:dyDescent="0.25">
      <c r="B20" s="7" t="s">
        <v>8</v>
      </c>
      <c r="C20" s="5">
        <f>5000*12</f>
        <v>60000</v>
      </c>
      <c r="D20" s="6"/>
      <c r="E20" s="5"/>
    </row>
    <row r="21" spans="2:6" x14ac:dyDescent="0.25">
      <c r="B21" s="7"/>
      <c r="C21" s="5"/>
      <c r="D21" s="6"/>
      <c r="E21" s="5"/>
    </row>
    <row r="22" spans="2:6" x14ac:dyDescent="0.25">
      <c r="B22" s="7" t="s">
        <v>9</v>
      </c>
      <c r="C22" s="5">
        <f>'BS 2025-26'!F10+'BS 2025-26'!F16+'BS 2025-26'!F19</f>
        <v>232250</v>
      </c>
      <c r="D22" s="6"/>
      <c r="E22" s="5"/>
    </row>
    <row r="23" spans="2:6" x14ac:dyDescent="0.25">
      <c r="B23" s="7"/>
      <c r="C23" s="5"/>
      <c r="D23" s="6"/>
      <c r="E23" s="5"/>
    </row>
    <row r="24" spans="2:6" x14ac:dyDescent="0.25">
      <c r="B24" s="7" t="s">
        <v>10</v>
      </c>
      <c r="C24" s="5">
        <f>150000</f>
        <v>150000</v>
      </c>
      <c r="D24" s="6"/>
      <c r="E24" s="5"/>
    </row>
    <row r="25" spans="2:6" x14ac:dyDescent="0.25">
      <c r="B25" s="7"/>
      <c r="C25" s="5"/>
      <c r="D25" s="6"/>
      <c r="E25" s="5"/>
    </row>
    <row r="26" spans="2:6" x14ac:dyDescent="0.25">
      <c r="B26" s="7" t="s">
        <v>11</v>
      </c>
      <c r="C26" s="5">
        <f>17000*12-4000</f>
        <v>200000</v>
      </c>
      <c r="D26" s="6"/>
      <c r="E26" s="5"/>
    </row>
    <row r="27" spans="2:6" x14ac:dyDescent="0.25">
      <c r="B27" s="7"/>
      <c r="C27" s="5"/>
      <c r="D27" s="10"/>
      <c r="E27" s="5"/>
    </row>
    <row r="28" spans="2:6" x14ac:dyDescent="0.25">
      <c r="B28" s="7"/>
      <c r="C28" s="5"/>
      <c r="D28" s="6"/>
      <c r="E28" s="5"/>
    </row>
    <row r="29" spans="2:6" x14ac:dyDescent="0.25">
      <c r="B29" s="11" t="s">
        <v>12</v>
      </c>
      <c r="C29" s="12">
        <f>ROUND(C32-SUM(C8:C28),0)</f>
        <v>847750</v>
      </c>
      <c r="D29" s="6"/>
      <c r="E29" s="5"/>
    </row>
    <row r="30" spans="2:6" x14ac:dyDescent="0.25">
      <c r="B30" s="13"/>
      <c r="C30" s="5"/>
      <c r="D30" s="6"/>
      <c r="E30" s="5"/>
      <c r="F30" s="12"/>
    </row>
    <row r="31" spans="2:6" ht="14.4" thickBot="1" x14ac:dyDescent="0.3">
      <c r="B31" s="14"/>
      <c r="C31" s="5"/>
      <c r="D31" s="6"/>
      <c r="E31" s="5"/>
    </row>
    <row r="32" spans="2:6" ht="14.4" thickBot="1" x14ac:dyDescent="0.3">
      <c r="B32" s="3"/>
      <c r="C32" s="15">
        <f>E32</f>
        <v>6150000</v>
      </c>
      <c r="D32" s="3"/>
      <c r="E32" s="15">
        <f>SUM(E8:E30)</f>
        <v>6150000</v>
      </c>
    </row>
    <row r="33" spans="2:5" x14ac:dyDescent="0.25">
      <c r="B33" s="11"/>
      <c r="C33" s="16"/>
      <c r="D33" s="17"/>
      <c r="E33" s="18"/>
    </row>
    <row r="34" spans="2:5" ht="19.8" x14ac:dyDescent="0.3">
      <c r="B34" s="19"/>
      <c r="C34" s="20"/>
      <c r="D34" s="21"/>
      <c r="E34" s="22"/>
    </row>
    <row r="35" spans="2:5" ht="19.8" x14ac:dyDescent="0.3">
      <c r="B35" s="19"/>
      <c r="C35" s="20"/>
      <c r="D35" s="21"/>
      <c r="E35" s="22"/>
    </row>
    <row r="36" spans="2:5" ht="19.8" x14ac:dyDescent="0.3">
      <c r="B36" s="19"/>
      <c r="C36" s="20"/>
      <c r="D36" s="21"/>
      <c r="E36" s="22"/>
    </row>
    <row r="37" spans="2:5" ht="20.399999999999999" x14ac:dyDescent="0.35">
      <c r="B37" s="23"/>
      <c r="C37" s="24"/>
      <c r="D37" s="25"/>
      <c r="E37" s="26"/>
    </row>
    <row r="38" spans="2:5" ht="20.399999999999999" x14ac:dyDescent="0.35">
      <c r="B38" s="23" t="s">
        <v>13</v>
      </c>
      <c r="C38" s="24"/>
      <c r="D38" s="127" t="s">
        <v>39</v>
      </c>
      <c r="E38" s="128"/>
    </row>
    <row r="39" spans="2:5" ht="20.399999999999999" x14ac:dyDescent="0.35">
      <c r="B39" s="23" t="s">
        <v>14</v>
      </c>
      <c r="C39" s="25"/>
      <c r="D39" s="129" t="s">
        <v>15</v>
      </c>
      <c r="E39" s="130"/>
    </row>
    <row r="40" spans="2:5" ht="19.8" x14ac:dyDescent="0.3">
      <c r="B40" s="19"/>
      <c r="C40" s="21"/>
      <c r="D40" s="21"/>
      <c r="E40" s="22"/>
    </row>
    <row r="41" spans="2:5" ht="14.4" thickBot="1" x14ac:dyDescent="0.3">
      <c r="B41" s="14"/>
      <c r="C41" s="27"/>
      <c r="D41" s="27"/>
      <c r="E41" s="28"/>
    </row>
  </sheetData>
  <mergeCells count="5">
    <mergeCell ref="B3:E3"/>
    <mergeCell ref="B4:E4"/>
    <mergeCell ref="B5:E5"/>
    <mergeCell ref="D38:E38"/>
    <mergeCell ref="D39:E39"/>
  </mergeCells>
  <pageMargins left="0.70866141732283472" right="0.70866141732283472" top="0.74803149606299213" bottom="0.74803149606299213" header="0.31496062992125984" footer="0.31496062992125984"/>
  <pageSetup scale="6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5A9E-4DB7-458A-996B-3C8346F80047}">
  <sheetPr>
    <tabColor theme="5" tint="0.39997558519241921"/>
  </sheetPr>
  <dimension ref="B2:J44"/>
  <sheetViews>
    <sheetView tabSelected="1" zoomScale="73" workbookViewId="0">
      <selection activeCell="P19" sqref="P19"/>
    </sheetView>
  </sheetViews>
  <sheetFormatPr defaultColWidth="8.88671875" defaultRowHeight="13.8" x14ac:dyDescent="0.25"/>
  <cols>
    <col min="1" max="1" width="6" style="1" customWidth="1"/>
    <col min="2" max="2" width="36.21875" style="1" customWidth="1"/>
    <col min="3" max="4" width="13.88671875" style="1" bestFit="1" customWidth="1"/>
    <col min="5" max="5" width="39.88671875" style="1" bestFit="1" customWidth="1"/>
    <col min="6" max="7" width="13.88671875" style="1" bestFit="1" customWidth="1"/>
    <col min="8" max="8" width="11.21875" style="1" bestFit="1" customWidth="1"/>
    <col min="9" max="9" width="10.5546875" style="1" bestFit="1" customWidth="1"/>
    <col min="10" max="16384" width="8.88671875" style="1"/>
  </cols>
  <sheetData>
    <row r="2" spans="2:10" ht="14.4" thickBot="1" x14ac:dyDescent="0.3"/>
    <row r="3" spans="2:10" ht="14.4" thickBot="1" x14ac:dyDescent="0.3">
      <c r="B3" s="124" t="s">
        <v>39</v>
      </c>
      <c r="C3" s="125"/>
      <c r="D3" s="125"/>
      <c r="E3" s="125"/>
      <c r="F3" s="125"/>
      <c r="G3" s="126"/>
    </row>
    <row r="4" spans="2:10" ht="14.4" thickBot="1" x14ac:dyDescent="0.3">
      <c r="B4" s="124" t="s">
        <v>40</v>
      </c>
      <c r="C4" s="125"/>
      <c r="D4" s="125"/>
      <c r="E4" s="125"/>
      <c r="F4" s="125"/>
      <c r="G4" s="126"/>
    </row>
    <row r="5" spans="2:10" ht="14.4" thickBot="1" x14ac:dyDescent="0.3">
      <c r="B5" s="124" t="s">
        <v>122</v>
      </c>
      <c r="C5" s="125"/>
      <c r="D5" s="125"/>
      <c r="E5" s="125"/>
      <c r="F5" s="125"/>
      <c r="G5" s="126"/>
    </row>
    <row r="6" spans="2:10" ht="14.4" thickBot="1" x14ac:dyDescent="0.3">
      <c r="B6" s="2" t="s">
        <v>16</v>
      </c>
      <c r="C6" s="29" t="s">
        <v>1</v>
      </c>
      <c r="D6" s="29" t="s">
        <v>1</v>
      </c>
      <c r="E6" s="29" t="s">
        <v>17</v>
      </c>
      <c r="F6" s="2" t="s">
        <v>1</v>
      </c>
      <c r="G6" s="29" t="s">
        <v>1</v>
      </c>
    </row>
    <row r="7" spans="2:10" x14ac:dyDescent="0.25">
      <c r="B7" s="4"/>
      <c r="C7" s="6"/>
      <c r="D7" s="6"/>
      <c r="E7" s="6"/>
      <c r="F7" s="4"/>
      <c r="G7" s="6"/>
    </row>
    <row r="8" spans="2:10" x14ac:dyDescent="0.25">
      <c r="B8" s="7" t="s">
        <v>18</v>
      </c>
      <c r="C8" s="5"/>
      <c r="D8" s="5"/>
      <c r="E8" s="6" t="s">
        <v>19</v>
      </c>
      <c r="F8" s="7"/>
      <c r="G8" s="6"/>
    </row>
    <row r="9" spans="2:10" x14ac:dyDescent="0.25">
      <c r="B9" s="7" t="s">
        <v>38</v>
      </c>
      <c r="C9" s="5">
        <f>'[1]BS 2024-25'!$D$14</f>
        <v>1131000</v>
      </c>
      <c r="D9" s="5"/>
      <c r="E9" s="6" t="s">
        <v>30</v>
      </c>
      <c r="F9" s="30">
        <v>50000</v>
      </c>
      <c r="G9" s="5"/>
    </row>
    <row r="10" spans="2:10" x14ac:dyDescent="0.25">
      <c r="B10" s="7" t="s">
        <v>20</v>
      </c>
      <c r="C10" s="5">
        <v>0</v>
      </c>
      <c r="D10" s="5"/>
      <c r="E10" s="6" t="s">
        <v>21</v>
      </c>
      <c r="F10" s="31">
        <f>ROUND(F9*15/100,0)</f>
        <v>7500</v>
      </c>
      <c r="G10" s="5">
        <f>ROUND(F9-F10,0)</f>
        <v>42500</v>
      </c>
      <c r="I10" s="32"/>
    </row>
    <row r="11" spans="2:10" x14ac:dyDescent="0.25">
      <c r="B11" s="7" t="s">
        <v>22</v>
      </c>
      <c r="C11" s="31">
        <f>'PL 2025-26'!C29</f>
        <v>847750</v>
      </c>
      <c r="D11" s="31">
        <f>C9+C10+C11</f>
        <v>1978750</v>
      </c>
      <c r="E11" s="6"/>
      <c r="F11" s="30"/>
      <c r="G11" s="5"/>
      <c r="J11" s="33"/>
    </row>
    <row r="12" spans="2:10" x14ac:dyDescent="0.25">
      <c r="B12" s="7"/>
      <c r="C12" s="5"/>
      <c r="D12" s="34">
        <f>D11</f>
        <v>1978750</v>
      </c>
      <c r="E12" s="6" t="s">
        <v>23</v>
      </c>
      <c r="F12" s="30">
        <v>1500000</v>
      </c>
      <c r="G12" s="5"/>
    </row>
    <row r="13" spans="2:10" x14ac:dyDescent="0.25">
      <c r="B13" s="7" t="s">
        <v>24</v>
      </c>
      <c r="C13" s="5"/>
      <c r="D13" s="31">
        <v>300000</v>
      </c>
      <c r="E13" s="6" t="s">
        <v>25</v>
      </c>
      <c r="F13" s="31">
        <f>ROUND(F12*10/100,0)</f>
        <v>150000</v>
      </c>
      <c r="G13" s="5">
        <f>ROUND(F12-F13,0)</f>
        <v>1350000</v>
      </c>
    </row>
    <row r="14" spans="2:10" x14ac:dyDescent="0.25">
      <c r="B14" s="7"/>
      <c r="C14" s="5"/>
      <c r="D14" s="5">
        <f>D12-D13</f>
        <v>1678750</v>
      </c>
      <c r="E14" s="6"/>
      <c r="F14" s="30"/>
      <c r="G14" s="5"/>
    </row>
    <row r="15" spans="2:10" x14ac:dyDescent="0.25">
      <c r="B15" s="7"/>
      <c r="C15" s="5"/>
      <c r="D15" s="5"/>
      <c r="E15" s="6" t="s">
        <v>26</v>
      </c>
      <c r="F15" s="30">
        <f>125000+1000000</f>
        <v>1125000</v>
      </c>
      <c r="G15" s="5"/>
    </row>
    <row r="16" spans="2:10" x14ac:dyDescent="0.25">
      <c r="B16" s="7" t="s">
        <v>27</v>
      </c>
      <c r="C16" s="5"/>
      <c r="D16" s="5"/>
      <c r="E16" s="6" t="s">
        <v>28</v>
      </c>
      <c r="F16" s="31">
        <f>ROUND(F15*15/100,0)</f>
        <v>168750</v>
      </c>
      <c r="G16" s="5">
        <f>ROUND(F15-F16,0)</f>
        <v>956250</v>
      </c>
    </row>
    <row r="17" spans="2:7" x14ac:dyDescent="0.25">
      <c r="B17" s="7"/>
      <c r="C17" s="5"/>
      <c r="D17" s="5"/>
      <c r="E17" s="6"/>
      <c r="F17" s="30"/>
      <c r="G17" s="5"/>
    </row>
    <row r="18" spans="2:7" x14ac:dyDescent="0.25">
      <c r="B18" s="7" t="s">
        <v>29</v>
      </c>
      <c r="C18" s="5"/>
      <c r="D18" s="5">
        <v>150000</v>
      </c>
      <c r="E18" s="6" t="s">
        <v>37</v>
      </c>
      <c r="F18" s="30">
        <v>140000</v>
      </c>
      <c r="G18" s="5"/>
    </row>
    <row r="19" spans="2:7" x14ac:dyDescent="0.25">
      <c r="B19" s="7"/>
      <c r="C19" s="5"/>
      <c r="D19" s="5"/>
      <c r="E19" s="6" t="s">
        <v>28</v>
      </c>
      <c r="F19" s="31">
        <f>F18*40/100</f>
        <v>56000</v>
      </c>
      <c r="G19" s="5">
        <f>ROUND(F18-F19,0)</f>
        <v>84000</v>
      </c>
    </row>
    <row r="20" spans="2:7" x14ac:dyDescent="0.25">
      <c r="B20" s="7" t="s">
        <v>31</v>
      </c>
      <c r="C20" s="5"/>
      <c r="E20" s="6"/>
      <c r="F20" s="30"/>
      <c r="G20" s="5"/>
    </row>
    <row r="21" spans="2:7" x14ac:dyDescent="0.25">
      <c r="B21" s="7" t="s">
        <v>116</v>
      </c>
      <c r="C21" s="5">
        <v>1500000</v>
      </c>
      <c r="D21" s="5">
        <v>1500000</v>
      </c>
      <c r="E21" s="6" t="s">
        <v>32</v>
      </c>
      <c r="F21" s="30">
        <v>350000</v>
      </c>
      <c r="G21" s="5">
        <f>F21</f>
        <v>350000</v>
      </c>
    </row>
    <row r="22" spans="2:7" x14ac:dyDescent="0.25">
      <c r="B22" s="7"/>
      <c r="C22" s="5"/>
      <c r="D22" s="5"/>
      <c r="E22" s="6"/>
      <c r="F22" s="30"/>
      <c r="G22" s="5"/>
    </row>
    <row r="23" spans="2:7" x14ac:dyDescent="0.25">
      <c r="B23" s="7"/>
      <c r="C23" s="5"/>
      <c r="D23" s="5"/>
      <c r="E23" s="6" t="s">
        <v>33</v>
      </c>
      <c r="F23" s="30"/>
      <c r="G23" s="5"/>
    </row>
    <row r="24" spans="2:7" x14ac:dyDescent="0.25">
      <c r="B24" s="7"/>
      <c r="C24" s="5"/>
      <c r="D24" s="5"/>
      <c r="E24" s="6"/>
      <c r="F24" s="30"/>
      <c r="G24" s="5"/>
    </row>
    <row r="25" spans="2:7" x14ac:dyDescent="0.25">
      <c r="B25" s="7"/>
      <c r="C25" s="5"/>
      <c r="D25" s="5"/>
      <c r="E25" s="6"/>
      <c r="F25" s="30"/>
      <c r="G25" s="5"/>
    </row>
    <row r="26" spans="2:7" x14ac:dyDescent="0.25">
      <c r="B26" s="7"/>
      <c r="C26" s="5"/>
      <c r="D26" s="5"/>
      <c r="E26" s="6" t="s">
        <v>34</v>
      </c>
      <c r="F26" s="30">
        <v>34226</v>
      </c>
      <c r="G26" s="5"/>
    </row>
    <row r="27" spans="2:7" x14ac:dyDescent="0.25">
      <c r="B27" s="7"/>
      <c r="C27" s="5"/>
      <c r="D27" s="5"/>
      <c r="E27" s="6"/>
      <c r="F27" s="30"/>
      <c r="G27" s="5"/>
    </row>
    <row r="28" spans="2:7" x14ac:dyDescent="0.25">
      <c r="B28" s="7"/>
      <c r="C28" s="5"/>
      <c r="D28" s="5"/>
      <c r="E28" s="6" t="s">
        <v>41</v>
      </c>
      <c r="F28" s="30">
        <f>25774.2+52220-21220</f>
        <v>56774.2</v>
      </c>
      <c r="G28" s="5"/>
    </row>
    <row r="29" spans="2:7" x14ac:dyDescent="0.25">
      <c r="B29" s="7"/>
      <c r="C29" s="5"/>
      <c r="D29" s="5"/>
      <c r="E29" s="6"/>
      <c r="F29" s="30"/>
      <c r="G29" s="5"/>
    </row>
    <row r="30" spans="2:7" x14ac:dyDescent="0.25">
      <c r="B30" s="7"/>
      <c r="C30" s="5"/>
      <c r="D30" s="5"/>
      <c r="E30" s="6" t="s">
        <v>35</v>
      </c>
      <c r="F30" s="31">
        <v>200000</v>
      </c>
      <c r="G30" s="5">
        <f>F26+F28+F30</f>
        <v>291000.2</v>
      </c>
    </row>
    <row r="31" spans="2:7" x14ac:dyDescent="0.25">
      <c r="B31" s="7"/>
      <c r="C31" s="5"/>
      <c r="D31" s="5"/>
      <c r="E31" s="6"/>
      <c r="F31" s="30"/>
      <c r="G31" s="5"/>
    </row>
    <row r="32" spans="2:7" x14ac:dyDescent="0.25">
      <c r="B32" s="7"/>
      <c r="C32" s="5"/>
      <c r="D32" s="35"/>
      <c r="E32" s="6"/>
      <c r="F32" s="30"/>
      <c r="G32" s="5"/>
    </row>
    <row r="33" spans="2:9" x14ac:dyDescent="0.25">
      <c r="B33" s="7"/>
      <c r="C33" s="5"/>
      <c r="D33" s="5"/>
      <c r="E33" s="6"/>
      <c r="F33" s="30"/>
      <c r="G33" s="5"/>
    </row>
    <row r="34" spans="2:9" ht="14.4" thickBot="1" x14ac:dyDescent="0.3">
      <c r="B34" s="11"/>
      <c r="C34" s="12"/>
      <c r="D34" s="5"/>
      <c r="E34" s="6"/>
      <c r="F34" s="36"/>
      <c r="G34" s="12"/>
    </row>
    <row r="35" spans="2:9" ht="14.4" thickBot="1" x14ac:dyDescent="0.3">
      <c r="B35" s="37"/>
      <c r="C35" s="38"/>
      <c r="D35" s="38">
        <f>SUM(D14:D34)</f>
        <v>3328750</v>
      </c>
      <c r="E35" s="39"/>
      <c r="F35" s="40"/>
      <c r="G35" s="38">
        <f>SUM(G10:G34)</f>
        <v>3073750.2</v>
      </c>
      <c r="H35" s="41"/>
      <c r="I35" s="32">
        <f>G35-D35</f>
        <v>-254999.79999999981</v>
      </c>
    </row>
    <row r="36" spans="2:9" x14ac:dyDescent="0.25">
      <c r="B36" s="42"/>
      <c r="C36" s="43"/>
      <c r="D36" s="43"/>
      <c r="E36" s="44"/>
      <c r="F36" s="43"/>
      <c r="G36" s="45"/>
    </row>
    <row r="37" spans="2:9" ht="19.8" x14ac:dyDescent="0.3">
      <c r="B37" s="19"/>
      <c r="C37" s="20"/>
      <c r="D37" s="20"/>
      <c r="E37" s="21"/>
      <c r="F37" s="20"/>
      <c r="G37" s="46"/>
    </row>
    <row r="38" spans="2:9" ht="19.8" x14ac:dyDescent="0.3">
      <c r="B38" s="19"/>
      <c r="C38" s="20"/>
      <c r="D38" s="20"/>
      <c r="E38" s="21"/>
      <c r="F38" s="20"/>
      <c r="G38" s="46"/>
    </row>
    <row r="39" spans="2:9" ht="19.8" x14ac:dyDescent="0.3">
      <c r="B39" s="19" t="s">
        <v>13</v>
      </c>
      <c r="C39" s="21"/>
      <c r="D39" s="21"/>
      <c r="E39" s="48" t="s">
        <v>39</v>
      </c>
      <c r="G39" s="22"/>
    </row>
    <row r="40" spans="2:9" ht="19.8" x14ac:dyDescent="0.3">
      <c r="B40" s="19" t="s">
        <v>14</v>
      </c>
      <c r="C40" s="21"/>
      <c r="D40" s="21"/>
      <c r="E40" s="47" t="s">
        <v>115</v>
      </c>
      <c r="G40" s="22"/>
    </row>
    <row r="41" spans="2:9" ht="19.8" x14ac:dyDescent="0.3">
      <c r="B41" s="19"/>
      <c r="C41" s="21"/>
      <c r="D41" s="131"/>
      <c r="E41" s="131"/>
      <c r="F41" s="21"/>
      <c r="G41" s="22"/>
    </row>
    <row r="42" spans="2:9" ht="19.8" x14ac:dyDescent="0.3">
      <c r="B42" s="19"/>
      <c r="C42" s="21"/>
      <c r="D42" s="132"/>
      <c r="E42" s="132"/>
      <c r="F42" s="21"/>
      <c r="G42" s="22"/>
    </row>
    <row r="43" spans="2:9" ht="19.8" x14ac:dyDescent="0.3">
      <c r="B43" s="19"/>
      <c r="C43" s="21"/>
      <c r="D43" s="21"/>
      <c r="E43" s="21"/>
      <c r="F43" s="21"/>
      <c r="G43" s="22"/>
    </row>
    <row r="44" spans="2:9" ht="14.4" thickBot="1" x14ac:dyDescent="0.3">
      <c r="B44" s="14"/>
      <c r="C44" s="27"/>
      <c r="D44" s="27"/>
      <c r="E44" s="27"/>
      <c r="F44" s="27"/>
      <c r="G44" s="28"/>
    </row>
  </sheetData>
  <mergeCells count="5">
    <mergeCell ref="B3:G3"/>
    <mergeCell ref="B4:G4"/>
    <mergeCell ref="B5:G5"/>
    <mergeCell ref="D41:E41"/>
    <mergeCell ref="D42:E42"/>
  </mergeCells>
  <pageMargins left="0.70866141732283472" right="0.70866141732283472" top="0.74803149606299213" bottom="0.74803149606299213" header="0.31496062992125984" footer="0.31496062992125984"/>
  <pageSetup scale="6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FDE0-E191-49CA-B287-5CD6705B303E}">
  <dimension ref="A1"/>
  <sheetViews>
    <sheetView workbookViewId="0">
      <selection activeCell="K19" sqref="K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 2025-26</vt:lpstr>
      <vt:lpstr>PL 2025-26</vt:lpstr>
      <vt:lpstr>BS 2025-26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ignatiusakhilesh2003@gmail.com</dc:creator>
  <cp:lastModifiedBy>Admin</cp:lastModifiedBy>
  <cp:lastPrinted>2026-03-02T10:08:43Z</cp:lastPrinted>
  <dcterms:created xsi:type="dcterms:W3CDTF">2025-08-21T05:52:48Z</dcterms:created>
  <dcterms:modified xsi:type="dcterms:W3CDTF">2026-03-02T10:08:52Z</dcterms:modified>
</cp:coreProperties>
</file>